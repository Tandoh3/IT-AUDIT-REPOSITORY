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anabanyin.Tandoh\Downloads\"/>
    </mc:Choice>
  </mc:AlternateContent>
  <bookViews>
    <workbookView xWindow="0" yWindow="0" windowWidth="19368" windowHeight="9384"/>
  </bookViews>
  <sheets>
    <sheet name="Risk Prioritization " sheetId="5" r:id="rId1"/>
    <sheet name="Prior Questionaire" sheetId="3" r:id="rId2"/>
    <sheet name="Risk Assessment " sheetId="1" r:id="rId3"/>
    <sheet name="Risk Matrix" sheetId="2" r:id="rId4"/>
    <sheet name="Score Intepretation " sheetId="4" r:id="rId5"/>
  </sheets>
  <definedNames>
    <definedName name="_xlnm._FilterDatabase" localSheetId="0" hidden="1">'Risk Prioritization '!$A$1:$D$25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5" i="1" l="1"/>
  <c r="H15" i="1" s="1"/>
  <c r="G16" i="1"/>
  <c r="H16" i="1" s="1"/>
  <c r="G17" i="1"/>
  <c r="H17" i="1" s="1"/>
  <c r="G18" i="1"/>
  <c r="H18" i="1" s="1"/>
  <c r="G19" i="1"/>
  <c r="H19" i="1" s="1"/>
  <c r="G21" i="1"/>
  <c r="H21" i="1" s="1"/>
  <c r="G22" i="1"/>
  <c r="H22" i="1" s="1"/>
  <c r="G23" i="1"/>
  <c r="H23" i="1" s="1"/>
  <c r="G24" i="1"/>
  <c r="H24" i="1" s="1"/>
  <c r="G25" i="1"/>
  <c r="H25" i="1" s="1"/>
  <c r="G26" i="1"/>
  <c r="H26" i="1" s="1"/>
  <c r="G27" i="1"/>
  <c r="H27" i="1" s="1"/>
  <c r="G28" i="1"/>
  <c r="H28" i="1" s="1"/>
  <c r="G29" i="1"/>
  <c r="H29" i="1" s="1"/>
  <c r="G5" i="1"/>
  <c r="H5" i="1" s="1"/>
  <c r="G6" i="1"/>
  <c r="H6" i="1" s="1"/>
  <c r="G7" i="1"/>
  <c r="H7" i="1" s="1"/>
  <c r="G8" i="1"/>
  <c r="H8" i="1" s="1"/>
  <c r="G9" i="1"/>
  <c r="H9" i="1" s="1"/>
  <c r="G10" i="1"/>
  <c r="H10" i="1" s="1"/>
  <c r="G12" i="1"/>
  <c r="H12" i="1" s="1"/>
  <c r="G13" i="1"/>
  <c r="H13" i="1" s="1"/>
  <c r="G14" i="1"/>
  <c r="H14" i="1" s="1"/>
  <c r="G3" i="1"/>
  <c r="H3" i="1" s="1"/>
</calcChain>
</file>

<file path=xl/comments1.xml><?xml version="1.0" encoding="utf-8"?>
<comments xmlns="http://schemas.openxmlformats.org/spreadsheetml/2006/main">
  <authors>
    <author>Nana Banyin Tandoh</author>
  </authors>
  <commentList>
    <comment ref="A2" authorId="0" shapeId="0">
      <text>
        <r>
          <rPr>
            <b/>
            <sz val="9"/>
            <color indexed="81"/>
            <rFont val="Tahoma"/>
            <family val="2"/>
          </rPr>
          <t>Nana Banyin Tandoh:</t>
        </r>
        <r>
          <rPr>
            <sz val="9"/>
            <color indexed="81"/>
            <rFont val="Tahoma"/>
            <family val="2"/>
          </rPr>
          <t xml:space="preserve">
EXAMPLES:
Non-compliance with the applicable laws and regulations in activities related to the AI system could, for example, lead to:
• Discrimination of individuals who suffer a disproportionate negative impact due to the AI system’s use.
• A breach of privacy and data protection of individuals due to excessive processing of personal data by the AI
system.
• Arbitrary arrest or detention of individuals due to a lack of essential guarantees surrounding the AI system’s use
(inappropriateness, injustice, lack of predictability and due process of law).
• The inadmissibility of data collected by the AI system as evidence in criminal proceedings.
• A criminal or civil case brought against a law enforcement officer</t>
        </r>
      </text>
    </comment>
    <comment ref="A4" authorId="0" shapeId="0">
      <text>
        <r>
          <rPr>
            <b/>
            <sz val="9"/>
            <color indexed="81"/>
            <rFont val="Tahoma"/>
            <family val="2"/>
          </rPr>
          <t>Nana Banyin Tandoh:</t>
        </r>
        <r>
          <rPr>
            <sz val="9"/>
            <color indexed="81"/>
            <rFont val="Tahoma"/>
            <family val="2"/>
          </rPr>
          <t xml:space="preserve">
EXAMPLES: Vulnerabilities in the AI system’s robustness could, for example, lead to:
• Incorrect decisions due to compromised data integrity.
• Suboptimal investigations due to the AI system’s downtime after a cyber-attack.
• Users lacking trust in the AI system’s security due to fear of hacking and unauthorized disclosure of sensitive
information about criminal offences or convictions.
• Ineffective or delayed delivery of services to the public by the law enforcement agency (such as issuing driver’s
licenses or criminal record certificates) due to the AI system’s unavailability.</t>
        </r>
      </text>
    </comment>
    <comment ref="A11" authorId="0" shapeId="0">
      <text>
        <r>
          <rPr>
            <b/>
            <sz val="9"/>
            <color indexed="81"/>
            <rFont val="Tahoma"/>
            <family val="2"/>
          </rPr>
          <t>Nana Banyin Tandoh:</t>
        </r>
        <r>
          <rPr>
            <sz val="9"/>
            <color indexed="81"/>
            <rFont val="Tahoma"/>
            <family val="2"/>
          </rPr>
          <t xml:space="preserve">
EXAMPLES: Insufficient or inadequate human control and oversight of the AI system could, for example, lead to:
• A loss of autonomy of the individuals who interact with or are affected by the AI system’s use.
• Systematic human rights violations, such as structural racial discrimination or excessive surveillance.
• The breakdown of democratic structures due to, for instance, a miscarriage of justice and erosion of the
presumption of innocence.
• The erosion of public trust in the law enforcement agency and AI.</t>
        </r>
      </text>
    </comment>
    <comment ref="A20" authorId="0" shapeId="0">
      <text>
        <r>
          <rPr>
            <b/>
            <sz val="9"/>
            <color indexed="81"/>
            <rFont val="Tahoma"/>
            <family val="2"/>
          </rPr>
          <t>Nana Banyin Tandoh:</t>
        </r>
        <r>
          <rPr>
            <sz val="9"/>
            <color indexed="81"/>
            <rFont val="Tahoma"/>
            <family val="2"/>
          </rPr>
          <t xml:space="preserve">
EXAMPLES: Training the AI system with data of insufficient quantity or quality could, for example, lead to:
• Criminals remaining undiscovered due to the reduced accuracy of the AI system.
• Unequal access to public services (such as issuing driver’s licenses or criminal record certificates) by individuals
belonging to groups under or misrepresented in training data sets.
• Individuals belonging to under or misrepresented groups feeling stigmatized when interacting with the law
enforcement agency.</t>
        </r>
      </text>
    </comment>
  </commentList>
</comments>
</file>

<file path=xl/sharedStrings.xml><?xml version="1.0" encoding="utf-8"?>
<sst xmlns="http://schemas.openxmlformats.org/spreadsheetml/2006/main" count="208" uniqueCount="118">
  <si>
    <t xml:space="preserve">What is the likelihood that activities related to the AI system will lead to non-compliance with applicable laws and regulations </t>
  </si>
  <si>
    <t xml:space="preserve">How serious would the negative impact of such non-compliance be on indiviuals and communities </t>
  </si>
  <si>
    <t xml:space="preserve">LIKELIHOOD (A) </t>
  </si>
  <si>
    <t xml:space="preserve">IMPACT (B) </t>
  </si>
  <si>
    <t xml:space="preserve">RISK LEVEL (AXB) </t>
  </si>
  <si>
    <t xml:space="preserve">RISK OWNER </t>
  </si>
  <si>
    <t xml:space="preserve">Compliance, Risk Management Unit </t>
  </si>
  <si>
    <t xml:space="preserve">OBSERVATIONS </t>
  </si>
  <si>
    <t>S/N</t>
  </si>
  <si>
    <t>How likely is it that vulnerabilities in the AI system's robustness will result in harm to individuals or communities?</t>
  </si>
  <si>
    <t>How serious would such harm be?</t>
  </si>
  <si>
    <t>How likely is it that vulnerabilities in the
AI system’s safety will result in harm to individuals or communities?</t>
  </si>
  <si>
    <t>How likely is it that inaccuracies
in the AI system will result in harm to individuals or communities?</t>
  </si>
  <si>
    <t>How likely is it that the use or misuse
of the AI system will adversely affect the physical or psychological wellbeing of individuals or communities?</t>
  </si>
  <si>
    <t>How serious would such adverse effects be?</t>
  </si>
  <si>
    <t>How likely is it that the use or misuse
of the AI system will adversely affect environmental welfare?</t>
  </si>
  <si>
    <t>How likely is it that excessive costs of implementing the AI system in terms of time, money, human effort and environmental impact will result in harm to individuals or communities?</t>
  </si>
  <si>
    <t>How likely is it that limitations in the
ability of humans to exercise control and oversight of the AI
system will result in harm to individuals or communities?</t>
  </si>
  <si>
    <t>How likely is it that the use or misuse
of the AI system will limit users’ ability to reach decisions independently?</t>
  </si>
  <si>
    <t>How serious would such limitations be?</t>
  </si>
  <si>
    <t>How likely is it that the type and amount of data
used to train the AI system will have an impact
on the privacy of individuals and their right to have control over their data?</t>
  </si>
  <si>
    <t>How serious would such an impact be?</t>
  </si>
  <si>
    <t>How likely is it that the type and amount of data
collected, stored and transmitted by the AI system will have an impact on the privacy of individuals and their right to have control over their data?</t>
  </si>
  <si>
    <t>How serious would
such harm be?</t>
  </si>
  <si>
    <t>How serious would
such an impact on
equality and nondiscrimination
be?</t>
  </si>
  <si>
    <t>How serious would
such an impact be?</t>
  </si>
  <si>
    <t>How serious would
such disadvantages
be?</t>
  </si>
  <si>
    <t>How serious would
such adverse effects
be?</t>
  </si>
  <si>
    <t>How likely is it that the use or misuse
of the AI system will interfere with individuals’ private sphere and their capacity to self govern?</t>
  </si>
  <si>
    <t>How serious would such interference be?</t>
  </si>
  <si>
    <t>How likely is it that a lack of knowledge
of the AI system among its users will result in harm to individuals or communities?</t>
  </si>
  <si>
    <t>How likely is it that an absence of
public awareness that the AI system
is being used will result in harm to individuals or communities?</t>
  </si>
  <si>
    <t>How likely is it that the inability of users and/or people affected by the use of the AI system
to understand how and why
the AI system has reached a particular outcome
will result in harm to individuals or communities?</t>
  </si>
  <si>
    <t>How likely is it that training the AI system using
data of insufficient quantity or quality
(for example, data with a lack of representation)
will create or exacerbate inequalities or lead to discrimination?</t>
  </si>
  <si>
    <t>How likely is it that human biases reflected
in the design and development of the AI system will have a disproportionate impact on certain
individuals or groups?</t>
  </si>
  <si>
    <t>How likely is it that the use or misuse
of the AI system will create or exacerbate inequalities or lead to discrimination?</t>
  </si>
  <si>
    <t>How likely is it that an insufficient consideration of and engagement with vulnerable
groups throughout the AI life cycle
will create or exacerbate the
conditions that contribute to the vulnerability of such groups?</t>
  </si>
  <si>
    <t>How likely is it that the use or
misuse of the AI system will have a disproportionate impact on vulnerable groups?</t>
  </si>
  <si>
    <t>How likely is it that an insufficient
consideration of different human
characteristics and abilities during the
AI system’s design, development
or deployment will create or exacerbate
disadvantages for certain individuals
or groups?</t>
  </si>
  <si>
    <t>How likely is it that a lack of
technological and/ or organizational measures to allow AI system’s users to challenge its
outputs will have a negative impact on individuals or communities?</t>
  </si>
  <si>
    <t>How likely is it that a lack of technological and/
or organizational measures to allow
the people affected by the use of the AI system to challenge its outputs will have a negative impact
on individuals or communities?</t>
  </si>
  <si>
    <t>How likely is it that insufficient access
to redress for those who suffer negative
effects as a result of the use of the AI system will have a negative impact on individuals or
communities?</t>
  </si>
  <si>
    <t>LAWFULNESS</t>
  </si>
  <si>
    <t>MINIMIZATION OF HARM</t>
  </si>
  <si>
    <t>HUMAN AUTONOMY</t>
  </si>
  <si>
    <t xml:space="preserve">PREPARING FOR THE QUESTIONNAIRE </t>
  </si>
  <si>
    <t>Prior to conducting the Risk Assessment Questionnaire, it is important to first examine and fully</t>
  </si>
  <si>
    <t>understand the situation as a whole. To this end, you should endeavour to prepare answers to the</t>
  </si>
  <si>
    <t>questions listed below. It is recommended that internal or external legal experts be involved in</t>
  </si>
  <si>
    <t>this exercise.</t>
  </si>
  <si>
    <t xml:space="preserve">S/N </t>
  </si>
  <si>
    <t xml:space="preserve">Question </t>
  </si>
  <si>
    <t>At what stage of the AI life cycle will the Risk Assessment Questionnaire be completed?
What timeframe will it cover?</t>
  </si>
  <si>
    <t>What is the AI system use case to be assessed?</t>
  </si>
  <si>
    <t>What are the potential limitations of the Risk Assessment Questionnaire? Which other
types of risk assessments could provide additional information?</t>
  </si>
  <si>
    <t>What sources of information will you use to fill in the Risk Assessment Questionnaire?
Are they sufficient or do you need access to certain other information? How can you
gain access to this information?</t>
  </si>
  <si>
    <t>What are the foreseen or observed weaknesses regarding the implementation of the
Principles for Responsible AI Innovation? Refer to the results of the “Principles in Action”
exercise(s) in the Responsible AI Innovation in Action Workbook.</t>
  </si>
  <si>
    <t>What are the stakeholders of the AI system’s implementation? Refer to the results of
the “Stakeholder Engagement” exercise(s) in the Responsible AI Innovation in Action
Workbook.</t>
  </si>
  <si>
    <t>What is the context and mode of acquisition for the AI system? Refer to the results of the
“Gaps &amp; Needs Analysis”, “Value Mapping” and “Deciding how to obtain the AI System”
exercises in the Planning State of the Responsible AI Innovation in Action Workbook.</t>
  </si>
  <si>
    <t>How could the AI system be misused or accessed by unauthorized users and what would
be the consequences of that? Refer to the results of the “Identifying possible misuses
or unauthorized uses” exercise in the Responsible AI Innovation in Action Workbook and
any information and cybersecurity risk assessment or similar risk assessments carried
out in our agency.</t>
  </si>
  <si>
    <t>What possible negative impacts on human rights may result from the use of the AI
system? Refer to the results of the human rights impact assessment carried out in
relation to the AI system.</t>
  </si>
  <si>
    <t>The Risk Assessment Questionnaire will be completed in the Operations &amp; Monitoring stage, since the system is already deployed. It will cover the period from deployment up to the present, plus the next 6–12 months of expected operation.</t>
  </si>
  <si>
    <t>The system is an internal LLM used to extract, summarize, and interpret information from SOPs, policies, and other organizational documents.
It supports staff by providing quick answers and insights based on approved internal documentation.</t>
  </si>
  <si>
    <t>The questionnaire may be high-level, subjective, and may miss deeper technical or security issues.
Additional assessments like a Data Privacy Impact Assessment, Model Risk Assessment, and Security/Penetration Testing can give more detailed risk insights.</t>
  </si>
  <si>
    <t>Possible weaknesses include limited documentation showing how fairness, transparency, and accountability were applied during deployment.
There may also be gaps in monitoring, such as no structured process for tracking incorrect or misleading outputs.
Additionally, governance roles may not be clearly defined, making it harder to ensure ongoing responsible AI oversight.</t>
  </si>
  <si>
    <t>The main stakeholders include end-users who rely on the system to extract information from SOPs and policies.
System owners, IT teams, and data governance teams are involved in managing, maintaining, and securing the LLM.
Compliance, risk, and leadership stakeholders oversee responsible use, alignment with policies, and overall organizational impact.</t>
  </si>
  <si>
    <t>The AI system could be misused if unauthorized users access it to extract sensitive or confidential information from SOPs and policies.
Misuse could also occur if users manipulate prompts to generate inaccurate, misleading, or non-compliant guidance.
Consequences include data breaches, compliance violations, operational errors, and loss of trust in the system</t>
  </si>
  <si>
    <t xml:space="preserve">
Possible negative impacts on human rights include privacy violations if sensitive information is exposed, discrimination or bias if outputs favor certain groups, and reduced access to fair decision-making if staff rely solely on the system without oversight.
There is also a risk of misinformation affecting employee well-being or organizational fairness.</t>
  </si>
  <si>
    <t>We will use system documentation, model configuration details, SOPs, policies, and input from the technical and operations teams.
If some information is missing—like logs, access records, or architecture diagrams—We will request it from IT, Compliance, or the system owner.
Access can be gained through formal requests, meetings, or approvals from the responsible teams.</t>
  </si>
  <si>
    <t xml:space="preserve">Suggested Answers </t>
  </si>
  <si>
    <t>The AI system was acquired to address the need for faster, consistent access to information contained in SOPs, policies, and internal documents.
It was developed as an internal deployment of an LLM to fill gaps in efficiency, reduce manual document review, and support staff decision-making.
The mode of acquisition was a custom in-house implementation (or internal adaptation) designed to align with organizational requirements and data governance needs.</t>
  </si>
  <si>
    <t xml:space="preserve">Technology(Data Analytics or AI Team) </t>
  </si>
  <si>
    <t xml:space="preserve">Technology(Data Analytics or AI Team) and InfoSec </t>
  </si>
  <si>
    <t xml:space="preserve">Corporate Affairs, IT Security, Technology( AI Team) </t>
  </si>
  <si>
    <t>Corporate Affairs</t>
  </si>
  <si>
    <t xml:space="preserve">Corporate Affairs, Technology </t>
  </si>
  <si>
    <t xml:space="preserve">Corporate Affairs </t>
  </si>
  <si>
    <t>FAIRNESS</t>
  </si>
  <si>
    <t xml:space="preserve">Corporate Affairs, Info Sec, Technology (AI Team or Data Analytics) </t>
  </si>
  <si>
    <t xml:space="preserve">Technology (AI Team or Data Analytics) </t>
  </si>
  <si>
    <t xml:space="preserve">Technology (AI Team or Data Analytics), AI Steering System </t>
  </si>
  <si>
    <t xml:space="preserve">AI Steering Committee, Technology(Data Analytics or AI Team) and InfoSec </t>
  </si>
  <si>
    <t xml:space="preserve">Technology(Data Analytics or AI Team), Coporate Affairs </t>
  </si>
  <si>
    <t xml:space="preserve">Technology(Data Analytics or AI Team), Data Privacy Impact Assessment Team or Data Protection Officer </t>
  </si>
  <si>
    <t>Regulatory Compliance Risk</t>
  </si>
  <si>
    <t>System Robustness Risk</t>
  </si>
  <si>
    <t>AI System Safety and Human Harm Risk</t>
  </si>
  <si>
    <t>AI System Accuracy and Human Impact Risk</t>
  </si>
  <si>
    <t>AI System Misuse and Human Wellbeing Risk</t>
  </si>
  <si>
    <t>AI System Misuse and Environmental Impact Risk</t>
  </si>
  <si>
    <t>AI System Implementation Cost and Societal Impact Risk</t>
  </si>
  <si>
    <t>AI System Human Oversight and Control Risk</t>
  </si>
  <si>
    <t>AI System Autonomy and Decision-Making Risk</t>
  </si>
  <si>
    <t>AI System Data Privacy and Individual Rights Risk</t>
  </si>
  <si>
    <t>AI System Data Collection, Storage, and Privacy Risk</t>
  </si>
  <si>
    <t>AI System Interference with Personal Autonomy Risk</t>
  </si>
  <si>
    <t>AI System User Knowledge and Competency Risk</t>
  </si>
  <si>
    <t>AI System Transparency and Public Awareness Risk</t>
  </si>
  <si>
    <t>AI System Explainability and Outcome Understanding Risk</t>
  </si>
  <si>
    <t>AI System Training Data Bias and Discrimination Risk</t>
  </si>
  <si>
    <t>AI System Human Bias and Disparate Impact Risk</t>
  </si>
  <si>
    <t>AI System Misuse and Social Inequality Risk</t>
  </si>
  <si>
    <t>AI System Engagement and Vulnerable Group Protection Risk</t>
  </si>
  <si>
    <t>AI System Misuse and Disproportionate Impact on Vulnerable Groups Risk</t>
  </si>
  <si>
    <t>AI System Design Inclusivity and Human Diversity Risk</t>
  </si>
  <si>
    <t>AI System Redress and Accountability Risk</t>
  </si>
  <si>
    <t>AI System User and Affected Party Redress Risk</t>
  </si>
  <si>
    <t>AI System Access to Redress and Remediation Risk</t>
  </si>
  <si>
    <t xml:space="preserve">Status </t>
  </si>
  <si>
    <t xml:space="preserve">Audit Period </t>
  </si>
  <si>
    <t xml:space="preserve">Risk </t>
  </si>
  <si>
    <t>Medium</t>
  </si>
  <si>
    <t>High</t>
  </si>
  <si>
    <t>Low</t>
  </si>
  <si>
    <t>Extreme</t>
  </si>
  <si>
    <t>Quartely</t>
  </si>
  <si>
    <t>Twice Yearly</t>
  </si>
  <si>
    <t>Annually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</si>
</sst>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1" fillId="0" borderId="1" xfId="0" applyFont="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370286</xdr:colOff>
      <xdr:row>33</xdr:row>
      <xdr:rowOff>4983</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182880"/>
          <a:ext cx="9514286" cy="58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408686</xdr:colOff>
      <xdr:row>37</xdr:row>
      <xdr:rowOff>65867</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365760"/>
          <a:ext cx="7114286" cy="64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tabSelected="1" workbookViewId="0">
      <selection activeCell="C4" sqref="C4"/>
    </sheetView>
  </sheetViews>
  <sheetFormatPr defaultRowHeight="14.4" x14ac:dyDescent="0.3"/>
  <cols>
    <col min="1" max="1" width="4.21875" customWidth="1"/>
    <col min="2" max="2" width="41.77734375" customWidth="1"/>
    <col min="3" max="3" width="16.5546875" customWidth="1"/>
    <col min="4" max="4" width="15.44140625" customWidth="1"/>
  </cols>
  <sheetData>
    <row r="1" spans="1:4" x14ac:dyDescent="0.3">
      <c r="A1" s="1" t="s">
        <v>8</v>
      </c>
      <c r="B1" s="1" t="s">
        <v>110</v>
      </c>
      <c r="C1" s="1" t="s">
        <v>108</v>
      </c>
      <c r="D1" s="1" t="s">
        <v>109</v>
      </c>
    </row>
    <row r="2" spans="1:4" x14ac:dyDescent="0.3">
      <c r="A2" s="3">
        <v>1</v>
      </c>
      <c r="B2" s="4" t="s">
        <v>92</v>
      </c>
      <c r="C2" s="3" t="s">
        <v>114</v>
      </c>
      <c r="D2" s="3" t="s">
        <v>115</v>
      </c>
    </row>
    <row r="3" spans="1:4" x14ac:dyDescent="0.3">
      <c r="A3" s="3">
        <v>2</v>
      </c>
      <c r="B3" s="4" t="s">
        <v>93</v>
      </c>
      <c r="C3" s="3" t="s">
        <v>114</v>
      </c>
      <c r="D3" s="3" t="s">
        <v>115</v>
      </c>
    </row>
    <row r="4" spans="1:4" ht="28.8" x14ac:dyDescent="0.3">
      <c r="A4" s="3">
        <v>3</v>
      </c>
      <c r="B4" s="4" t="s">
        <v>94</v>
      </c>
      <c r="C4" s="3" t="s">
        <v>114</v>
      </c>
      <c r="D4" s="3" t="s">
        <v>115</v>
      </c>
    </row>
    <row r="5" spans="1:4" ht="28.8" x14ac:dyDescent="0.3">
      <c r="A5" s="3">
        <v>4</v>
      </c>
      <c r="B5" s="4" t="s">
        <v>95</v>
      </c>
      <c r="C5" s="3" t="s">
        <v>114</v>
      </c>
      <c r="D5" s="3" t="s">
        <v>115</v>
      </c>
    </row>
    <row r="6" spans="1:4" x14ac:dyDescent="0.3">
      <c r="A6" s="3">
        <v>5</v>
      </c>
      <c r="B6" s="4" t="s">
        <v>96</v>
      </c>
      <c r="C6" s="3" t="s">
        <v>114</v>
      </c>
      <c r="D6" s="3" t="s">
        <v>115</v>
      </c>
    </row>
    <row r="7" spans="1:4" ht="28.8" x14ac:dyDescent="0.3">
      <c r="A7" s="3">
        <v>6</v>
      </c>
      <c r="B7" s="4" t="s">
        <v>97</v>
      </c>
      <c r="C7" s="3" t="s">
        <v>114</v>
      </c>
      <c r="D7" s="3" t="s">
        <v>115</v>
      </c>
    </row>
    <row r="8" spans="1:4" ht="28.8" x14ac:dyDescent="0.3">
      <c r="A8" s="3">
        <v>7</v>
      </c>
      <c r="B8" s="4" t="s">
        <v>98</v>
      </c>
      <c r="C8" s="3" t="s">
        <v>114</v>
      </c>
      <c r="D8" s="3" t="s">
        <v>115</v>
      </c>
    </row>
    <row r="9" spans="1:4" ht="28.8" x14ac:dyDescent="0.3">
      <c r="A9" s="3">
        <v>8</v>
      </c>
      <c r="B9" s="4" t="s">
        <v>99</v>
      </c>
      <c r="C9" s="3" t="s">
        <v>114</v>
      </c>
      <c r="D9" s="3" t="s">
        <v>115</v>
      </c>
    </row>
    <row r="10" spans="1:4" x14ac:dyDescent="0.3">
      <c r="A10" s="3">
        <v>9</v>
      </c>
      <c r="B10" s="4" t="s">
        <v>100</v>
      </c>
      <c r="C10" s="3" t="s">
        <v>114</v>
      </c>
      <c r="D10" s="3" t="s">
        <v>115</v>
      </c>
    </row>
    <row r="11" spans="1:4" x14ac:dyDescent="0.3">
      <c r="A11" s="3">
        <v>10</v>
      </c>
      <c r="B11" s="4" t="s">
        <v>101</v>
      </c>
      <c r="C11" s="3" t="s">
        <v>114</v>
      </c>
      <c r="D11" s="3" t="s">
        <v>115</v>
      </c>
    </row>
    <row r="12" spans="1:4" x14ac:dyDescent="0.3">
      <c r="A12" s="3">
        <v>11</v>
      </c>
      <c r="B12" s="4" t="s">
        <v>85</v>
      </c>
      <c r="C12" s="3" t="s">
        <v>112</v>
      </c>
      <c r="D12" s="3" t="s">
        <v>115</v>
      </c>
    </row>
    <row r="13" spans="1:4" x14ac:dyDescent="0.3">
      <c r="A13" s="3">
        <v>12</v>
      </c>
      <c r="B13" s="4" t="s">
        <v>86</v>
      </c>
      <c r="C13" s="3" t="s">
        <v>112</v>
      </c>
      <c r="D13" s="3" t="s">
        <v>115</v>
      </c>
    </row>
    <row r="14" spans="1:4" ht="28.8" x14ac:dyDescent="0.3">
      <c r="A14" s="3">
        <v>13</v>
      </c>
      <c r="B14" s="4" t="s">
        <v>102</v>
      </c>
      <c r="C14" s="3" t="s">
        <v>112</v>
      </c>
      <c r="D14" s="3" t="s">
        <v>115</v>
      </c>
    </row>
    <row r="15" spans="1:4" x14ac:dyDescent="0.3">
      <c r="A15" s="3">
        <v>14</v>
      </c>
      <c r="B15" s="4" t="s">
        <v>105</v>
      </c>
      <c r="C15" s="3" t="s">
        <v>112</v>
      </c>
      <c r="D15" s="3" t="s">
        <v>115</v>
      </c>
    </row>
    <row r="16" spans="1:4" x14ac:dyDescent="0.3">
      <c r="A16" s="3">
        <v>15</v>
      </c>
      <c r="B16" s="4" t="s">
        <v>106</v>
      </c>
      <c r="C16" s="3" t="s">
        <v>112</v>
      </c>
      <c r="D16" s="3" t="s">
        <v>115</v>
      </c>
    </row>
    <row r="17" spans="1:4" ht="28.8" x14ac:dyDescent="0.3">
      <c r="A17" s="3">
        <v>16</v>
      </c>
      <c r="B17" s="4" t="s">
        <v>107</v>
      </c>
      <c r="C17" s="3" t="s">
        <v>112</v>
      </c>
      <c r="D17" s="3" t="s">
        <v>115</v>
      </c>
    </row>
    <row r="18" spans="1:4" x14ac:dyDescent="0.3">
      <c r="A18" s="3">
        <v>17</v>
      </c>
      <c r="B18" s="4" t="s">
        <v>84</v>
      </c>
      <c r="C18" s="3" t="s">
        <v>111</v>
      </c>
      <c r="D18" s="3" t="s">
        <v>116</v>
      </c>
    </row>
    <row r="19" spans="1:4" x14ac:dyDescent="0.3">
      <c r="A19" s="3">
        <v>18</v>
      </c>
      <c r="B19" s="4" t="s">
        <v>87</v>
      </c>
      <c r="C19" s="3" t="s">
        <v>111</v>
      </c>
      <c r="D19" s="3" t="s">
        <v>116</v>
      </c>
    </row>
    <row r="20" spans="1:4" x14ac:dyDescent="0.3">
      <c r="A20" s="3">
        <v>19</v>
      </c>
      <c r="B20" s="4" t="s">
        <v>91</v>
      </c>
      <c r="C20" s="3" t="s">
        <v>111</v>
      </c>
      <c r="D20" s="3" t="s">
        <v>116</v>
      </c>
    </row>
    <row r="21" spans="1:4" ht="28.8" x14ac:dyDescent="0.3">
      <c r="A21" s="3">
        <v>20</v>
      </c>
      <c r="B21" s="4" t="s">
        <v>103</v>
      </c>
      <c r="C21" s="3" t="s">
        <v>111</v>
      </c>
      <c r="D21" s="3" t="s">
        <v>116</v>
      </c>
    </row>
    <row r="22" spans="1:4" ht="28.8" x14ac:dyDescent="0.3">
      <c r="A22" s="3">
        <v>21</v>
      </c>
      <c r="B22" s="4" t="s">
        <v>104</v>
      </c>
      <c r="C22" s="3" t="s">
        <v>111</v>
      </c>
      <c r="D22" s="3" t="s">
        <v>116</v>
      </c>
    </row>
    <row r="23" spans="1:4" x14ac:dyDescent="0.3">
      <c r="A23" s="3">
        <v>22</v>
      </c>
      <c r="B23" s="4" t="s">
        <v>88</v>
      </c>
      <c r="C23" s="3" t="s">
        <v>113</v>
      </c>
      <c r="D23" s="3" t="s">
        <v>117</v>
      </c>
    </row>
    <row r="24" spans="1:4" x14ac:dyDescent="0.3">
      <c r="A24" s="3">
        <v>23</v>
      </c>
      <c r="B24" s="4" t="s">
        <v>89</v>
      </c>
      <c r="C24" s="3" t="s">
        <v>113</v>
      </c>
      <c r="D24" s="3" t="s">
        <v>117</v>
      </c>
    </row>
    <row r="25" spans="1:4" ht="28.8" x14ac:dyDescent="0.3">
      <c r="A25" s="3">
        <v>24</v>
      </c>
      <c r="B25" s="4" t="s">
        <v>90</v>
      </c>
      <c r="C25" s="3" t="s">
        <v>113</v>
      </c>
      <c r="D25" s="3" t="s">
        <v>117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C11" sqref="C11"/>
    </sheetView>
  </sheetViews>
  <sheetFormatPr defaultRowHeight="14.4" x14ac:dyDescent="0.3"/>
  <cols>
    <col min="1" max="1" width="6.109375" customWidth="1"/>
    <col min="2" max="2" width="45.5546875" customWidth="1"/>
    <col min="3" max="3" width="48.109375" customWidth="1"/>
  </cols>
  <sheetData>
    <row r="1" spans="1:3" x14ac:dyDescent="0.3">
      <c r="A1" t="s">
        <v>45</v>
      </c>
    </row>
    <row r="2" spans="1:3" x14ac:dyDescent="0.3">
      <c r="A2" t="s">
        <v>46</v>
      </c>
    </row>
    <row r="3" spans="1:3" x14ac:dyDescent="0.3">
      <c r="A3" t="s">
        <v>47</v>
      </c>
    </row>
    <row r="4" spans="1:3" x14ac:dyDescent="0.3">
      <c r="A4" t="s">
        <v>48</v>
      </c>
    </row>
    <row r="5" spans="1:3" x14ac:dyDescent="0.3">
      <c r="A5" t="s">
        <v>49</v>
      </c>
    </row>
    <row r="6" spans="1:3" x14ac:dyDescent="0.3">
      <c r="A6" s="1" t="s">
        <v>50</v>
      </c>
      <c r="B6" s="1" t="s">
        <v>51</v>
      </c>
      <c r="C6" s="1" t="s">
        <v>69</v>
      </c>
    </row>
    <row r="7" spans="1:3" ht="72" x14ac:dyDescent="0.3">
      <c r="A7" s="3">
        <v>1</v>
      </c>
      <c r="B7" s="4" t="s">
        <v>52</v>
      </c>
      <c r="C7" s="4" t="s">
        <v>61</v>
      </c>
    </row>
    <row r="8" spans="1:3" ht="72" x14ac:dyDescent="0.3">
      <c r="A8" s="3">
        <v>2</v>
      </c>
      <c r="B8" s="3" t="s">
        <v>53</v>
      </c>
      <c r="C8" s="4" t="s">
        <v>62</v>
      </c>
    </row>
    <row r="9" spans="1:3" ht="86.4" x14ac:dyDescent="0.3">
      <c r="A9" s="3">
        <v>3</v>
      </c>
      <c r="B9" s="4" t="s">
        <v>54</v>
      </c>
      <c r="C9" s="4" t="s">
        <v>63</v>
      </c>
    </row>
    <row r="10" spans="1:3" ht="115.2" x14ac:dyDescent="0.3">
      <c r="A10" s="3">
        <v>4</v>
      </c>
      <c r="B10" s="4" t="s">
        <v>55</v>
      </c>
      <c r="C10" s="4" t="s">
        <v>68</v>
      </c>
    </row>
    <row r="11" spans="1:3" ht="129.6" x14ac:dyDescent="0.3">
      <c r="A11" s="3">
        <v>5</v>
      </c>
      <c r="B11" s="4" t="s">
        <v>56</v>
      </c>
      <c r="C11" s="4" t="s">
        <v>64</v>
      </c>
    </row>
    <row r="12" spans="1:3" ht="115.2" x14ac:dyDescent="0.3">
      <c r="A12" s="3">
        <v>6</v>
      </c>
      <c r="B12" s="4" t="s">
        <v>57</v>
      </c>
      <c r="C12" s="4" t="s">
        <v>65</v>
      </c>
    </row>
    <row r="13" spans="1:3" ht="144" x14ac:dyDescent="0.3">
      <c r="A13" s="3">
        <v>7</v>
      </c>
      <c r="B13" s="4" t="s">
        <v>58</v>
      </c>
      <c r="C13" s="4" t="s">
        <v>70</v>
      </c>
    </row>
    <row r="14" spans="1:3" ht="129.6" x14ac:dyDescent="0.3">
      <c r="A14" s="3">
        <v>8</v>
      </c>
      <c r="B14" s="4" t="s">
        <v>59</v>
      </c>
      <c r="C14" s="4" t="s">
        <v>66</v>
      </c>
    </row>
    <row r="15" spans="1:3" ht="129.6" x14ac:dyDescent="0.3">
      <c r="A15" s="3">
        <v>9</v>
      </c>
      <c r="B15" s="4" t="s">
        <v>60</v>
      </c>
      <c r="C15" s="4"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9"/>
  <sheetViews>
    <sheetView workbookViewId="0">
      <selection activeCell="C5" sqref="C5"/>
    </sheetView>
  </sheetViews>
  <sheetFormatPr defaultRowHeight="14.4" x14ac:dyDescent="0.3"/>
  <cols>
    <col min="1" max="1" width="4.6640625" customWidth="1"/>
    <col min="2" max="2" width="42.33203125" customWidth="1"/>
    <col min="3" max="3" width="41.109375" customWidth="1"/>
    <col min="4" max="4" width="5.5546875" customWidth="1"/>
    <col min="5" max="5" width="30" customWidth="1"/>
    <col min="6" max="6" width="6.33203125" customWidth="1"/>
    <col min="7" max="8" width="18" customWidth="1"/>
    <col min="9" max="9" width="21.88671875" customWidth="1"/>
    <col min="10" max="10" width="15.5546875" customWidth="1"/>
  </cols>
  <sheetData>
    <row r="1" spans="1:10" x14ac:dyDescent="0.3">
      <c r="A1" s="1" t="s">
        <v>8</v>
      </c>
      <c r="B1" s="1"/>
      <c r="C1" s="1" t="s">
        <v>2</v>
      </c>
      <c r="D1" s="1"/>
      <c r="E1" s="1" t="s">
        <v>3</v>
      </c>
      <c r="F1" s="1"/>
      <c r="G1" s="1" t="s">
        <v>4</v>
      </c>
      <c r="H1" s="1"/>
      <c r="I1" s="1" t="s">
        <v>5</v>
      </c>
      <c r="J1" s="1" t="s">
        <v>7</v>
      </c>
    </row>
    <row r="2" spans="1:10" x14ac:dyDescent="0.3">
      <c r="A2" s="2" t="s">
        <v>42</v>
      </c>
      <c r="B2" s="2"/>
      <c r="C2" s="2"/>
      <c r="D2" s="2"/>
      <c r="E2" s="2"/>
      <c r="F2" s="2"/>
      <c r="G2" s="2"/>
      <c r="H2" s="2"/>
      <c r="I2" s="2"/>
      <c r="J2" s="2"/>
    </row>
    <row r="3" spans="1:10" ht="43.2" x14ac:dyDescent="0.3">
      <c r="A3" s="3">
        <v>1</v>
      </c>
      <c r="B3" s="3" t="s">
        <v>84</v>
      </c>
      <c r="C3" s="4" t="s">
        <v>0</v>
      </c>
      <c r="D3" s="3">
        <v>3</v>
      </c>
      <c r="E3" s="4" t="s">
        <v>1</v>
      </c>
      <c r="F3" s="4">
        <v>2</v>
      </c>
      <c r="G3" s="3">
        <f>D3*F3</f>
        <v>6</v>
      </c>
      <c r="H3" s="3" t="str">
        <f>IF(AND(G3&gt;=1, G3&lt;=3), "Low",
   IF(AND(G3&gt;=4, G3&lt;=6), "Medium",
   IF(AND(G3&gt;=7, G3&lt;=12), "High",
   "Extreme")))</f>
        <v>Medium</v>
      </c>
      <c r="I3" s="4" t="s">
        <v>6</v>
      </c>
      <c r="J3" s="3"/>
    </row>
    <row r="4" spans="1:10" x14ac:dyDescent="0.3">
      <c r="A4" s="2" t="s">
        <v>43</v>
      </c>
      <c r="B4" s="2"/>
      <c r="C4" s="2"/>
      <c r="D4" s="2"/>
      <c r="E4" s="2"/>
      <c r="F4" s="2"/>
      <c r="G4" s="2"/>
      <c r="H4" s="2"/>
      <c r="I4" s="2"/>
      <c r="J4" s="2"/>
    </row>
    <row r="5" spans="1:10" ht="43.2" x14ac:dyDescent="0.3">
      <c r="A5" s="3">
        <v>2</v>
      </c>
      <c r="B5" s="3" t="s">
        <v>85</v>
      </c>
      <c r="C5" s="4" t="s">
        <v>9</v>
      </c>
      <c r="D5" s="3">
        <v>4</v>
      </c>
      <c r="E5" s="3" t="s">
        <v>10</v>
      </c>
      <c r="F5" s="3">
        <v>3</v>
      </c>
      <c r="G5" s="3">
        <f t="shared" ref="G5:G29" si="0">D5*F5</f>
        <v>12</v>
      </c>
      <c r="H5" s="3" t="str">
        <f>IF(AND(G5&gt;=1, G5&lt;=3), "Low",
   IF(AND(G5&gt;=4, G5&lt;=6), "Medium",
   IF(AND(G5&gt;=7, G5&lt;=12), "High",
   "Extreme")))</f>
        <v>High</v>
      </c>
      <c r="I5" s="4" t="s">
        <v>72</v>
      </c>
      <c r="J5" s="3"/>
    </row>
    <row r="6" spans="1:10" ht="43.2" x14ac:dyDescent="0.3">
      <c r="A6" s="3">
        <v>3</v>
      </c>
      <c r="B6" s="3" t="s">
        <v>86</v>
      </c>
      <c r="C6" s="4" t="s">
        <v>11</v>
      </c>
      <c r="D6" s="3">
        <v>4</v>
      </c>
      <c r="E6" s="3" t="s">
        <v>10</v>
      </c>
      <c r="F6" s="3">
        <v>3</v>
      </c>
      <c r="G6" s="3">
        <f t="shared" si="0"/>
        <v>12</v>
      </c>
      <c r="H6" s="3" t="str">
        <f t="shared" ref="H6:H29" si="1">IF(AND(G6&gt;=1, G6&lt;=3), "Low",
   IF(AND(G6&gt;=4, G6&lt;=6), "Medium",
   IF(AND(G6&gt;=7, G6&lt;=12), "High",
   "Extreme")))</f>
        <v>High</v>
      </c>
      <c r="I6" s="4" t="s">
        <v>72</v>
      </c>
      <c r="J6" s="3"/>
    </row>
    <row r="7" spans="1:10" ht="57.6" x14ac:dyDescent="0.3">
      <c r="A7" s="3">
        <v>4</v>
      </c>
      <c r="B7" s="3" t="s">
        <v>87</v>
      </c>
      <c r="C7" s="4" t="s">
        <v>12</v>
      </c>
      <c r="D7" s="3">
        <v>3</v>
      </c>
      <c r="E7" s="3" t="s">
        <v>10</v>
      </c>
      <c r="F7" s="3">
        <v>2</v>
      </c>
      <c r="G7" s="3">
        <f t="shared" si="0"/>
        <v>6</v>
      </c>
      <c r="H7" s="3" t="str">
        <f t="shared" si="1"/>
        <v>Medium</v>
      </c>
      <c r="I7" s="4" t="s">
        <v>81</v>
      </c>
      <c r="J7" s="3"/>
    </row>
    <row r="8" spans="1:10" ht="57.6" x14ac:dyDescent="0.3">
      <c r="A8" s="3">
        <v>5</v>
      </c>
      <c r="B8" s="3" t="s">
        <v>88</v>
      </c>
      <c r="C8" s="4" t="s">
        <v>13</v>
      </c>
      <c r="D8" s="3">
        <v>2</v>
      </c>
      <c r="E8" s="4" t="s">
        <v>14</v>
      </c>
      <c r="F8" s="3">
        <v>1</v>
      </c>
      <c r="G8" s="3">
        <f t="shared" si="0"/>
        <v>2</v>
      </c>
      <c r="H8" s="3" t="str">
        <f t="shared" si="1"/>
        <v>Low</v>
      </c>
      <c r="I8" s="4" t="s">
        <v>81</v>
      </c>
      <c r="J8" s="3"/>
    </row>
    <row r="9" spans="1:10" ht="57.6" x14ac:dyDescent="0.3">
      <c r="A9" s="3">
        <v>6</v>
      </c>
      <c r="B9" s="3" t="s">
        <v>89</v>
      </c>
      <c r="C9" s="4" t="s">
        <v>15</v>
      </c>
      <c r="D9" s="3">
        <v>2</v>
      </c>
      <c r="E9" s="4" t="s">
        <v>14</v>
      </c>
      <c r="F9" s="3">
        <v>1</v>
      </c>
      <c r="G9" s="3">
        <f t="shared" si="0"/>
        <v>2</v>
      </c>
      <c r="H9" s="3" t="str">
        <f t="shared" si="1"/>
        <v>Low</v>
      </c>
      <c r="I9" s="4" t="s">
        <v>81</v>
      </c>
      <c r="J9" s="3"/>
    </row>
    <row r="10" spans="1:10" ht="72" x14ac:dyDescent="0.3">
      <c r="A10" s="3">
        <v>7</v>
      </c>
      <c r="B10" s="4" t="s">
        <v>90</v>
      </c>
      <c r="C10" s="4" t="s">
        <v>16</v>
      </c>
      <c r="D10" s="3">
        <v>2</v>
      </c>
      <c r="E10" s="4" t="s">
        <v>14</v>
      </c>
      <c r="F10" s="3">
        <v>1</v>
      </c>
      <c r="G10" s="3">
        <f t="shared" si="0"/>
        <v>2</v>
      </c>
      <c r="H10" s="3" t="str">
        <f t="shared" si="1"/>
        <v>Low</v>
      </c>
      <c r="I10" s="4" t="s">
        <v>81</v>
      </c>
      <c r="J10" s="3"/>
    </row>
    <row r="11" spans="1:10" x14ac:dyDescent="0.3">
      <c r="A11" s="2" t="s">
        <v>44</v>
      </c>
      <c r="B11" s="2"/>
      <c r="C11" s="2"/>
      <c r="D11" s="2"/>
      <c r="E11" s="2"/>
      <c r="F11" s="2"/>
      <c r="G11" s="2"/>
      <c r="H11" s="2"/>
      <c r="I11" s="2"/>
      <c r="J11" s="2"/>
    </row>
    <row r="12" spans="1:10" ht="72" x14ac:dyDescent="0.3">
      <c r="A12" s="3">
        <v>8</v>
      </c>
      <c r="B12" s="3" t="s">
        <v>91</v>
      </c>
      <c r="C12" s="4" t="s">
        <v>17</v>
      </c>
      <c r="D12" s="3">
        <v>3</v>
      </c>
      <c r="E12" s="4" t="s">
        <v>10</v>
      </c>
      <c r="F12" s="3">
        <v>2</v>
      </c>
      <c r="G12" s="3">
        <f t="shared" si="0"/>
        <v>6</v>
      </c>
      <c r="H12" s="3" t="str">
        <f t="shared" si="1"/>
        <v>Medium</v>
      </c>
      <c r="I12" s="4" t="s">
        <v>71</v>
      </c>
      <c r="J12" s="3"/>
    </row>
    <row r="13" spans="1:10" ht="43.2" x14ac:dyDescent="0.3">
      <c r="A13" s="3">
        <v>9</v>
      </c>
      <c r="B13" s="3" t="s">
        <v>92</v>
      </c>
      <c r="C13" s="4" t="s">
        <v>18</v>
      </c>
      <c r="D13" s="3">
        <v>5</v>
      </c>
      <c r="E13" s="4" t="s">
        <v>19</v>
      </c>
      <c r="F13" s="3">
        <v>4</v>
      </c>
      <c r="G13" s="3">
        <f t="shared" si="0"/>
        <v>20</v>
      </c>
      <c r="H13" s="3" t="str">
        <f t="shared" si="1"/>
        <v>Extreme</v>
      </c>
      <c r="I13" s="4" t="s">
        <v>82</v>
      </c>
      <c r="J13" s="3"/>
    </row>
    <row r="14" spans="1:10" ht="72" x14ac:dyDescent="0.3">
      <c r="A14" s="3">
        <v>10</v>
      </c>
      <c r="B14" s="3" t="s">
        <v>93</v>
      </c>
      <c r="C14" s="4" t="s">
        <v>20</v>
      </c>
      <c r="D14" s="3">
        <v>5</v>
      </c>
      <c r="E14" s="4" t="s">
        <v>21</v>
      </c>
      <c r="F14" s="3">
        <v>4</v>
      </c>
      <c r="G14" s="3">
        <f t="shared" si="0"/>
        <v>20</v>
      </c>
      <c r="H14" s="3" t="str">
        <f t="shared" si="1"/>
        <v>Extreme</v>
      </c>
      <c r="I14" s="4" t="s">
        <v>83</v>
      </c>
      <c r="J14" s="3"/>
    </row>
    <row r="15" spans="1:10" ht="72" x14ac:dyDescent="0.3">
      <c r="A15" s="3">
        <v>11</v>
      </c>
      <c r="B15" s="3" t="s">
        <v>94</v>
      </c>
      <c r="C15" s="4" t="s">
        <v>22</v>
      </c>
      <c r="D15" s="3">
        <v>5</v>
      </c>
      <c r="E15" s="4" t="s">
        <v>21</v>
      </c>
      <c r="F15" s="3">
        <v>4</v>
      </c>
      <c r="G15" s="3">
        <f t="shared" si="0"/>
        <v>20</v>
      </c>
      <c r="H15" s="3" t="str">
        <f t="shared" si="1"/>
        <v>Extreme</v>
      </c>
      <c r="I15" s="4" t="s">
        <v>83</v>
      </c>
      <c r="J15" s="3"/>
    </row>
    <row r="16" spans="1:10" ht="72" x14ac:dyDescent="0.3">
      <c r="A16" s="3">
        <v>12</v>
      </c>
      <c r="B16" s="4" t="s">
        <v>95</v>
      </c>
      <c r="C16" s="4" t="s">
        <v>28</v>
      </c>
      <c r="D16" s="3">
        <v>5</v>
      </c>
      <c r="E16" s="4" t="s">
        <v>29</v>
      </c>
      <c r="F16" s="3">
        <v>4</v>
      </c>
      <c r="G16" s="3">
        <f t="shared" si="0"/>
        <v>20</v>
      </c>
      <c r="H16" s="3" t="str">
        <f t="shared" si="1"/>
        <v>Extreme</v>
      </c>
      <c r="I16" s="4" t="s">
        <v>83</v>
      </c>
      <c r="J16" s="3"/>
    </row>
    <row r="17" spans="1:10" ht="43.2" x14ac:dyDescent="0.3">
      <c r="A17" s="3">
        <v>13</v>
      </c>
      <c r="B17" s="3" t="s">
        <v>96</v>
      </c>
      <c r="C17" s="4" t="s">
        <v>30</v>
      </c>
      <c r="D17" s="3">
        <v>5</v>
      </c>
      <c r="E17" s="4" t="s">
        <v>23</v>
      </c>
      <c r="F17" s="3">
        <v>4</v>
      </c>
      <c r="G17" s="3">
        <f t="shared" si="0"/>
        <v>20</v>
      </c>
      <c r="H17" s="3" t="str">
        <f t="shared" si="1"/>
        <v>Extreme</v>
      </c>
      <c r="I17" s="4" t="s">
        <v>73</v>
      </c>
      <c r="J17" s="3"/>
    </row>
    <row r="18" spans="1:10" ht="57.6" x14ac:dyDescent="0.3">
      <c r="A18" s="3">
        <v>14</v>
      </c>
      <c r="B18" s="3" t="s">
        <v>97</v>
      </c>
      <c r="C18" s="4" t="s">
        <v>31</v>
      </c>
      <c r="D18" s="3">
        <v>5</v>
      </c>
      <c r="E18" s="4" t="s">
        <v>23</v>
      </c>
      <c r="F18" s="3">
        <v>4</v>
      </c>
      <c r="G18" s="3">
        <f t="shared" si="0"/>
        <v>20</v>
      </c>
      <c r="H18" s="3" t="str">
        <f t="shared" si="1"/>
        <v>Extreme</v>
      </c>
      <c r="I18" s="4" t="s">
        <v>74</v>
      </c>
      <c r="J18" s="3"/>
    </row>
    <row r="19" spans="1:10" ht="86.4" x14ac:dyDescent="0.3">
      <c r="A19" s="3">
        <v>15</v>
      </c>
      <c r="B19" s="4" t="s">
        <v>98</v>
      </c>
      <c r="C19" s="4" t="s">
        <v>32</v>
      </c>
      <c r="D19" s="3">
        <v>5</v>
      </c>
      <c r="E19" s="4" t="s">
        <v>23</v>
      </c>
      <c r="F19" s="3">
        <v>4</v>
      </c>
      <c r="G19" s="3">
        <f t="shared" si="0"/>
        <v>20</v>
      </c>
      <c r="H19" s="3" t="str">
        <f t="shared" si="1"/>
        <v>Extreme</v>
      </c>
      <c r="I19" s="4" t="s">
        <v>75</v>
      </c>
      <c r="J19" s="3"/>
    </row>
    <row r="20" spans="1:10" x14ac:dyDescent="0.3">
      <c r="A20" s="2" t="s">
        <v>77</v>
      </c>
      <c r="B20" s="2"/>
      <c r="C20" s="5"/>
      <c r="D20" s="5"/>
      <c r="E20" s="5"/>
      <c r="F20" s="5"/>
      <c r="G20" s="5"/>
      <c r="H20" s="5"/>
      <c r="I20" s="5"/>
      <c r="J20" s="3"/>
    </row>
    <row r="21" spans="1:10" ht="72" x14ac:dyDescent="0.3">
      <c r="A21" s="3">
        <v>16</v>
      </c>
      <c r="B21" s="4" t="s">
        <v>99</v>
      </c>
      <c r="C21" s="4" t="s">
        <v>33</v>
      </c>
      <c r="D21" s="3">
        <v>5</v>
      </c>
      <c r="E21" s="4" t="s">
        <v>24</v>
      </c>
      <c r="F21" s="3">
        <v>4</v>
      </c>
      <c r="G21" s="3">
        <f t="shared" si="0"/>
        <v>20</v>
      </c>
      <c r="H21" s="3" t="str">
        <f t="shared" si="1"/>
        <v>Extreme</v>
      </c>
      <c r="I21" s="4" t="s">
        <v>72</v>
      </c>
      <c r="J21" s="3"/>
    </row>
    <row r="22" spans="1:10" ht="57.6" x14ac:dyDescent="0.3">
      <c r="A22" s="3">
        <v>17</v>
      </c>
      <c r="B22" s="3" t="s">
        <v>100</v>
      </c>
      <c r="C22" s="4" t="s">
        <v>34</v>
      </c>
      <c r="D22" s="3">
        <v>5</v>
      </c>
      <c r="E22" s="4" t="s">
        <v>25</v>
      </c>
      <c r="F22" s="3">
        <v>4</v>
      </c>
      <c r="G22" s="3">
        <f t="shared" si="0"/>
        <v>20</v>
      </c>
      <c r="H22" s="3" t="str">
        <f t="shared" si="1"/>
        <v>Extreme</v>
      </c>
      <c r="I22" s="4" t="s">
        <v>72</v>
      </c>
      <c r="J22" s="3"/>
    </row>
    <row r="23" spans="1:10" ht="57.6" x14ac:dyDescent="0.3">
      <c r="A23" s="3">
        <v>18</v>
      </c>
      <c r="B23" s="3" t="s">
        <v>101</v>
      </c>
      <c r="C23" s="4" t="s">
        <v>35</v>
      </c>
      <c r="D23" s="3">
        <v>5</v>
      </c>
      <c r="E23" s="4" t="s">
        <v>24</v>
      </c>
      <c r="F23" s="3">
        <v>4</v>
      </c>
      <c r="G23" s="3">
        <f t="shared" si="0"/>
        <v>20</v>
      </c>
      <c r="H23" s="3" t="str">
        <f t="shared" si="1"/>
        <v>Extreme</v>
      </c>
      <c r="I23" s="4" t="s">
        <v>76</v>
      </c>
      <c r="J23" s="3"/>
    </row>
    <row r="24" spans="1:10" ht="86.4" x14ac:dyDescent="0.3">
      <c r="A24" s="3">
        <v>19</v>
      </c>
      <c r="B24" s="4" t="s">
        <v>102</v>
      </c>
      <c r="C24" s="4" t="s">
        <v>36</v>
      </c>
      <c r="D24" s="3">
        <v>4</v>
      </c>
      <c r="E24" s="4" t="s">
        <v>25</v>
      </c>
      <c r="F24" s="3">
        <v>3</v>
      </c>
      <c r="G24" s="3">
        <f t="shared" si="0"/>
        <v>12</v>
      </c>
      <c r="H24" s="3" t="str">
        <f t="shared" si="1"/>
        <v>High</v>
      </c>
      <c r="I24" s="4" t="s">
        <v>78</v>
      </c>
      <c r="J24" s="3"/>
    </row>
    <row r="25" spans="1:10" ht="43.2" x14ac:dyDescent="0.3">
      <c r="A25" s="3">
        <v>20</v>
      </c>
      <c r="B25" s="4" t="s">
        <v>103</v>
      </c>
      <c r="C25" s="4" t="s">
        <v>37</v>
      </c>
      <c r="D25" s="3">
        <v>3</v>
      </c>
      <c r="E25" s="4" t="s">
        <v>25</v>
      </c>
      <c r="F25" s="3">
        <v>2</v>
      </c>
      <c r="G25" s="3">
        <f t="shared" si="0"/>
        <v>6</v>
      </c>
      <c r="H25" s="3" t="str">
        <f t="shared" si="1"/>
        <v>Medium</v>
      </c>
      <c r="I25" s="4" t="s">
        <v>78</v>
      </c>
      <c r="J25" s="3"/>
    </row>
    <row r="26" spans="1:10" ht="100.8" x14ac:dyDescent="0.3">
      <c r="A26" s="3">
        <v>21</v>
      </c>
      <c r="B26" s="4" t="s">
        <v>104</v>
      </c>
      <c r="C26" s="4" t="s">
        <v>38</v>
      </c>
      <c r="D26" s="3">
        <v>3</v>
      </c>
      <c r="E26" s="4" t="s">
        <v>26</v>
      </c>
      <c r="F26" s="3">
        <v>2</v>
      </c>
      <c r="G26" s="3">
        <f t="shared" si="0"/>
        <v>6</v>
      </c>
      <c r="H26" s="3" t="str">
        <f t="shared" si="1"/>
        <v>Medium</v>
      </c>
      <c r="I26" s="4" t="s">
        <v>79</v>
      </c>
      <c r="J26" s="3"/>
    </row>
    <row r="27" spans="1:10" ht="72" x14ac:dyDescent="0.3">
      <c r="A27" s="3">
        <v>22</v>
      </c>
      <c r="B27" s="3" t="s">
        <v>105</v>
      </c>
      <c r="C27" s="4" t="s">
        <v>39</v>
      </c>
      <c r="D27" s="3">
        <v>4</v>
      </c>
      <c r="E27" s="4" t="s">
        <v>27</v>
      </c>
      <c r="F27" s="3">
        <v>3</v>
      </c>
      <c r="G27" s="3">
        <f t="shared" si="0"/>
        <v>12</v>
      </c>
      <c r="H27" s="3" t="str">
        <f t="shared" si="1"/>
        <v>High</v>
      </c>
      <c r="I27" s="4" t="s">
        <v>79</v>
      </c>
      <c r="J27" s="3"/>
    </row>
    <row r="28" spans="1:10" ht="86.4" x14ac:dyDescent="0.3">
      <c r="A28" s="3">
        <v>23</v>
      </c>
      <c r="B28" s="3" t="s">
        <v>106</v>
      </c>
      <c r="C28" s="4" t="s">
        <v>40</v>
      </c>
      <c r="D28" s="3">
        <v>4</v>
      </c>
      <c r="E28" s="4" t="s">
        <v>27</v>
      </c>
      <c r="F28" s="3">
        <v>3</v>
      </c>
      <c r="G28" s="3">
        <f t="shared" si="0"/>
        <v>12</v>
      </c>
      <c r="H28" s="3" t="str">
        <f t="shared" si="1"/>
        <v>High</v>
      </c>
      <c r="I28" s="4" t="s">
        <v>79</v>
      </c>
      <c r="J28" s="3"/>
    </row>
    <row r="29" spans="1:10" ht="72" x14ac:dyDescent="0.3">
      <c r="A29" s="3">
        <v>24</v>
      </c>
      <c r="B29" s="3" t="s">
        <v>107</v>
      </c>
      <c r="C29" s="4" t="s">
        <v>41</v>
      </c>
      <c r="D29" s="3">
        <v>4</v>
      </c>
      <c r="E29" s="4" t="s">
        <v>27</v>
      </c>
      <c r="F29" s="3">
        <v>3</v>
      </c>
      <c r="G29" s="3">
        <f t="shared" si="0"/>
        <v>12</v>
      </c>
      <c r="H29" s="3" t="str">
        <f t="shared" si="1"/>
        <v>High</v>
      </c>
      <c r="I29" s="4" t="s">
        <v>80</v>
      </c>
      <c r="J29" s="3"/>
    </row>
  </sheetData>
  <mergeCells count="4">
    <mergeCell ref="A2:J2"/>
    <mergeCell ref="A4:J4"/>
    <mergeCell ref="A11:J11"/>
    <mergeCell ref="A20:I20"/>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election activeCell="A24" sqref="A24"/>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Risk Prioritization </vt:lpstr>
      <vt:lpstr>Prior Questionaire</vt:lpstr>
      <vt:lpstr>Risk Assessment </vt:lpstr>
      <vt:lpstr>Risk Matrix</vt:lpstr>
      <vt:lpstr>Score Intepretation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Banyin Tandoh</dc:creator>
  <cp:lastModifiedBy>Nana Banyin Tandoh</cp:lastModifiedBy>
  <dcterms:created xsi:type="dcterms:W3CDTF">2025-11-19T15:00:25Z</dcterms:created>
  <dcterms:modified xsi:type="dcterms:W3CDTF">2025-11-19T19:34:47Z</dcterms:modified>
</cp:coreProperties>
</file>